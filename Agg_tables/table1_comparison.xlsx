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O:\Tiedostot\Vaikkari\Git_repo\Transportability-of-Neoadjuvant-HER2-Positive-Breast-Cancer-Trial-Outcomes\Agg_tables\"/>
    </mc:Choice>
  </mc:AlternateContent>
  <xr:revisionPtr revIDLastSave="0" documentId="13_ncr:1_{09FE03DD-8155-45FE-96F0-E78F3B5CE4EF}" xr6:coauthVersionLast="47" xr6:coauthVersionMax="47" xr10:uidLastSave="{00000000-0000-0000-0000-000000000000}"/>
  <bookViews>
    <workbookView xWindow="1500" yWindow="1500" windowWidth="17280" windowHeight="9960" xr2:uid="{93AFF125-A546-48B0-988B-26716797AFB4}"/>
  </bookViews>
  <sheets>
    <sheet name="table1" sheetId="2" r:id="rId1"/>
    <sheet name="Sheet1" sheetId="1" r:id="rId2"/>
  </sheets>
  <definedNames>
    <definedName name="ExternalData_1" localSheetId="0" hidden="1">table1!$A$1:$C$70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2" l="1"/>
  <c r="A51" i="2"/>
  <c r="J44" i="2"/>
  <c r="J41" i="2"/>
  <c r="J5" i="2"/>
  <c r="D5" i="2"/>
  <c r="J24" i="2"/>
  <c r="J23" i="2"/>
  <c r="J22" i="2"/>
  <c r="J13" i="2"/>
  <c r="J12" i="2"/>
  <c r="J11" i="2"/>
  <c r="J10" i="2"/>
  <c r="J64" i="2"/>
  <c r="J63" i="2"/>
  <c r="J62" i="2"/>
  <c r="J61" i="2"/>
  <c r="J37" i="2"/>
  <c r="J36" i="2"/>
  <c r="J35" i="2"/>
  <c r="G64" i="2"/>
  <c r="G63" i="2"/>
  <c r="G62" i="2"/>
  <c r="G61" i="2"/>
  <c r="G48" i="2"/>
  <c r="G47" i="2"/>
  <c r="G45" i="2"/>
  <c r="G31" i="2"/>
  <c r="G30" i="2"/>
  <c r="G29" i="2"/>
  <c r="G28" i="2"/>
  <c r="G34" i="2"/>
  <c r="G33" i="2"/>
  <c r="G32" i="2"/>
  <c r="G15" i="2"/>
  <c r="G14" i="2"/>
  <c r="G2" i="2"/>
  <c r="D37" i="2"/>
  <c r="G37" i="2" s="1"/>
  <c r="D36" i="2"/>
  <c r="G36" i="2" s="1"/>
  <c r="D35" i="2"/>
  <c r="G35" i="2" s="1"/>
  <c r="D24" i="2"/>
  <c r="G24" i="2" s="1"/>
  <c r="D23" i="2"/>
  <c r="G23" i="2" s="1"/>
  <c r="D22" i="2"/>
  <c r="G22" i="2" s="1"/>
  <c r="D16" i="2"/>
  <c r="D13" i="2"/>
  <c r="D12" i="2"/>
  <c r="D1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E87F0-9FF5-48F0-BC49-B39DF5D30EED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<sst xmlns="http://schemas.openxmlformats.org/spreadsheetml/2006/main" count="139" uniqueCount="128">
  <si>
    <t>Tumor size (n = 221)</t>
  </si>
  <si>
    <t>Tumor size: Unknown</t>
  </si>
  <si>
    <t>ECOG: 0</t>
  </si>
  <si>
    <t>ECOG: 1</t>
  </si>
  <si>
    <t>ECOG: 2</t>
  </si>
  <si>
    <t>ECOG: Unknown</t>
  </si>
  <si>
    <t>Nodal status: Positive</t>
  </si>
  <si>
    <t>Nodal status: Negative</t>
  </si>
  <si>
    <t>Nodal status: Unknown</t>
  </si>
  <si>
    <t>Bilateral: True</t>
  </si>
  <si>
    <t>Bilateral: False</t>
  </si>
  <si>
    <t>Bilateral: Unknown</t>
  </si>
  <si>
    <t>Multifocal: True</t>
  </si>
  <si>
    <t>Multifocal: False</t>
  </si>
  <si>
    <t>Multifocal: Unknown</t>
  </si>
  <si>
    <t>Tumor grade: 1</t>
  </si>
  <si>
    <t>Tumor grade: 2</t>
  </si>
  <si>
    <t>Tumor grade: 3</t>
  </si>
  <si>
    <t>Tumor grade: Unknown</t>
  </si>
  <si>
    <t>ER and/or PR positive: Positive</t>
  </si>
  <si>
    <t>ER and/or PR positive: Negative</t>
  </si>
  <si>
    <t>ER and/or PR positive: Unknown</t>
  </si>
  <si>
    <t>CISH: Positive</t>
  </si>
  <si>
    <t>CISH: Negative</t>
  </si>
  <si>
    <t>CISH: Unknown</t>
  </si>
  <si>
    <t>IHC: 1+</t>
  </si>
  <si>
    <t>IHC: 2+</t>
  </si>
  <si>
    <t>IHC: 3+</t>
  </si>
  <si>
    <t>IHC: Unknown</t>
  </si>
  <si>
    <t>MIB-1 (n = 263)</t>
  </si>
  <si>
    <t>MIB-1: Unknown</t>
  </si>
  <si>
    <t>HUS Variable</t>
  </si>
  <si>
    <t>HUS N</t>
  </si>
  <si>
    <t>HUS Summary</t>
  </si>
  <si>
    <t>Neosphere N</t>
  </si>
  <si>
    <t>Neosphere Summary</t>
  </si>
  <si>
    <t>52 (IQR 42-63)</t>
  </si>
  <si>
    <t>Median age</t>
  </si>
  <si>
    <t>50 (Range 28-77)</t>
  </si>
  <si>
    <t>Median tumour size (mm) at clinical breast  examination</t>
  </si>
  <si>
    <t>55 (Range 20-150)</t>
  </si>
  <si>
    <t>26.0 (IQR 20-37)</t>
  </si>
  <si>
    <t xml:space="preserve"> N1 + N2 + N3</t>
  </si>
  <si>
    <t>N0</t>
  </si>
  <si>
    <t>N1</t>
  </si>
  <si>
    <t>N2</t>
  </si>
  <si>
    <t>N3</t>
  </si>
  <si>
    <t>Ethnic origin Black</t>
  </si>
  <si>
    <t>Ethnic origin White</t>
  </si>
  <si>
    <t>Ethnic origin Asian</t>
  </si>
  <si>
    <t>Ethnic origin Other</t>
  </si>
  <si>
    <t>Neosphere Variable</t>
  </si>
  <si>
    <t>Median age (n = 268)</t>
  </si>
  <si>
    <t>HELEN-006 Variable</t>
  </si>
  <si>
    <t>HELEN-006 N</t>
  </si>
  <si>
    <t>HELEN-006 Summary</t>
  </si>
  <si>
    <t>50 (IQR 44-56)</t>
  </si>
  <si>
    <t>Premenopausal</t>
  </si>
  <si>
    <t>Postmenopausal</t>
  </si>
  <si>
    <t>T stage T1 to T2</t>
  </si>
  <si>
    <t>T stage T3 to T4</t>
  </si>
  <si>
    <t>T status (based on the tumor size): 1</t>
  </si>
  <si>
    <t>T status (based on the tumor size): 2</t>
  </si>
  <si>
    <t>T status (based on the tumor size): 3</t>
  </si>
  <si>
    <t>Histological type: Ductale</t>
  </si>
  <si>
    <t>Histological type: Lobulare</t>
  </si>
  <si>
    <t>Histological type: Other</t>
  </si>
  <si>
    <t>&gt; 1 %</t>
  </si>
  <si>
    <t>40 (IQR 30-60)</t>
  </si>
  <si>
    <t>38 % [32 % - 44 %]</t>
  </si>
  <si>
    <t>8 % [5 % - 11 %]</t>
  </si>
  <si>
    <t>0 % [0 % - 1 %]</t>
  </si>
  <si>
    <t>8 %  [5 % - 11 %]</t>
  </si>
  <si>
    <t>&gt; 1 %  [0 % - 2 %]</t>
  </si>
  <si>
    <t>24 % [19 % - 29 %]</t>
  </si>
  <si>
    <t>19 % [15 % - 24 %]</t>
  </si>
  <si>
    <t>33% [27 % - 39 %]</t>
  </si>
  <si>
    <t>27 % [21 % - 32 %]</t>
  </si>
  <si>
    <t>35 % [29 % - 41 %]</t>
  </si>
  <si>
    <t>44 % [38 % - 50 %]</t>
  </si>
  <si>
    <t>49 % [43 % - 55 %]</t>
  </si>
  <si>
    <t>58 %  [52 % - 64 %]</t>
  </si>
  <si>
    <t>3 % [1 % - 6 %]</t>
  </si>
  <si>
    <t>57 % [51 % - 63 %]</t>
  </si>
  <si>
    <t>67 % [61 % - 73 %]</t>
  </si>
  <si>
    <t>68 % [62 % - 74 %]</t>
  </si>
  <si>
    <t>5 % [3 % - 8 %]</t>
  </si>
  <si>
    <t>97 % [94 % - 99 %]</t>
  </si>
  <si>
    <t>92 % [88 % - 95 %]</t>
  </si>
  <si>
    <t>11 % [7 % - 15 %]</t>
  </si>
  <si>
    <t>51 % [45 % - 57 %]</t>
  </si>
  <si>
    <t>79 % [73 % - 84 %]</t>
  </si>
  <si>
    <t>22 % [17 % - 27 %]</t>
  </si>
  <si>
    <t>53 % [47 % - 60 %]</t>
  </si>
  <si>
    <t>7 % [4 % - 11 %]</t>
  </si>
  <si>
    <t>Disease stage II</t>
  </si>
  <si>
    <t>Disease stage III</t>
  </si>
  <si>
    <t>Ki-67 index &lt;= 30 %</t>
  </si>
  <si>
    <t>Ki-67 index &gt; 30 %</t>
  </si>
  <si>
    <t>8 % [5 % - 12 %]</t>
  </si>
  <si>
    <t>IHC: 2+ and ISH</t>
  </si>
  <si>
    <t>KRISTINE Variable</t>
  </si>
  <si>
    <t>KRISTINE N</t>
  </si>
  <si>
    <t>KRISTINE Summary</t>
  </si>
  <si>
    <t>49 (IQR 41-57)</t>
  </si>
  <si>
    <t xml:space="preserve"> </t>
  </si>
  <si>
    <t>World region North America</t>
  </si>
  <si>
    <t>World Western Europe</t>
  </si>
  <si>
    <t>World region Rest of world</t>
  </si>
  <si>
    <t>Clinical stage IIA - IIIA</t>
  </si>
  <si>
    <t>Clinical stage IIIB - IIIC</t>
  </si>
  <si>
    <t>Positive sentinel lymph node biopsy at baseline</t>
  </si>
  <si>
    <t>Negative sentinel lymph node biopsy at baseline</t>
  </si>
  <si>
    <t>Operable (T2-3, N0-1; IIA, IIB, IIIA)</t>
  </si>
  <si>
    <t>Locally advanced (T2-3, N2-3 or T4a-c, N0-3; IIIA-IIIC)</t>
  </si>
  <si>
    <t>Inflammatory (T4d, N0-3; IIIB-IIIC)</t>
  </si>
  <si>
    <t>&lt;3</t>
  </si>
  <si>
    <t>&lt; 1 % [0 % - 2 %]</t>
  </si>
  <si>
    <t>HER2 IHC/ISH:IHC3+</t>
  </si>
  <si>
    <t>HER2 IHC/ISH:IHC:2+ and ISH</t>
  </si>
  <si>
    <t>HER2 IHC/ISH:other</t>
  </si>
  <si>
    <t>HER2 IHC/ISH:Unknown</t>
  </si>
  <si>
    <t>5 % [3 % - 9 %]</t>
  </si>
  <si>
    <t>Unknown</t>
  </si>
  <si>
    <t>64 % [58 % - 70 %]</t>
  </si>
  <si>
    <t>34 % [28 % - 40 %]</t>
  </si>
  <si>
    <t>2 % [0 % - 4 %]</t>
  </si>
  <si>
    <t>16 % [12 % - 21 %]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</si>
</sst>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B37ECB-FF5C-40AE-BBCF-963652F6FCC8}" autoFormatId="16" applyNumberFormats="0" applyBorderFormats="0" applyFontFormats="0" applyPatternFormats="0" applyAlignmentFormats="0" applyWidthHeightFormats="0">
  <queryTableRefresh nextId="13" unboundColumnsRight="9">
    <queryTableFields count="12">
      <queryTableField id="1" name="Variable" tableColumnId="1"/>
      <queryTableField id="2" name="N" tableColumnId="2"/>
      <queryTableField id="3" name="Summary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4B7CC-E063-416F-97CF-8FA90BE78482}" name="table1" displayName="table1" ref="A1:L70" tableType="queryTable" totalsRowShown="0">
  <autoFilter ref="A1:L70" xr:uid="{B0F4B7CC-E063-416F-97CF-8FA90BE78482}"/>
  <tableColumns count="12">
    <tableColumn id="1" xr3:uid="{5E13A730-A07D-42B4-A3BD-4BBD233A7CD3}" uniqueName="1" name="HUS Variable" queryTableFieldId="1" dataDxfId="1"/>
    <tableColumn id="2" xr3:uid="{FDE70E84-CF59-48CC-AD4B-53D24006045D}" uniqueName="2" name="HUS N" queryTableFieldId="2"/>
    <tableColumn id="3" xr3:uid="{1D789F3A-13EE-44AD-AFD5-FE42D1A4781F}" uniqueName="3" name="HUS Summary" queryTableFieldId="3" dataDxfId="0"/>
    <tableColumn id="4" xr3:uid="{5D001FA1-9D8F-4614-B8C9-8DA1D9B833A7}" uniqueName="4" name="Neosphere Variable" queryTableFieldId="4"/>
    <tableColumn id="5" xr3:uid="{5BE39CFE-2E7A-47C4-AF5C-7AF7EBA36DF4}" uniqueName="5" name="Neosphere N" queryTableFieldId="5"/>
    <tableColumn id="6" xr3:uid="{F45614BA-B7E4-40ED-A65A-4AC63AA39EA3}" uniqueName="6" name="Neosphere Summary" queryTableFieldId="6"/>
    <tableColumn id="7" xr3:uid="{F4E7B0C8-0AB4-4EDA-9177-7D85644E5271}" uniqueName="7" name="HELEN-006 Variable" queryTableFieldId="7"/>
    <tableColumn id="8" xr3:uid="{C2BCC8DE-DDE8-44B4-85A5-33C3212C9C0A}" uniqueName="8" name="HELEN-006 N" queryTableFieldId="8"/>
    <tableColumn id="9" xr3:uid="{0220B364-0234-4B5A-9425-2AC0DF80049D}" uniqueName="9" name="HELEN-006 Summary" queryTableFieldId="9"/>
    <tableColumn id="10" xr3:uid="{8C3640CF-0192-4238-844D-E1C7CA1D2331}" uniqueName="10" name="KRISTINE Variable" queryTableFieldId="10"/>
    <tableColumn id="11" xr3:uid="{FCA99FBF-C365-41FA-835B-1176590BFCB3}" uniqueName="11" name="KRISTINE N" queryTableFieldId="11"/>
    <tableColumn id="12" xr3:uid="{1B2C4B04-8962-4BA6-808B-EA0C0C7F4E06}" uniqueName="12" name="KRISTINE Summar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7D1B-1C2A-49A2-B28C-ED08FE2B0F0A}">
  <dimension ref="A1:L69"/>
  <sheetViews>
    <sheetView tabSelected="1" workbookViewId="0">
      <pane ySplit="1" topLeftCell="A21" activePane="bottomLeft" state="frozen"/>
      <selection pane="bottomLeft" activeCell="D30" sqref="D30"/>
    </sheetView>
  </sheetViews>
  <sheetFormatPr defaultRowHeight="14.4" x14ac:dyDescent="0.3"/>
  <cols>
    <col min="1" max="1" width="33.44140625" bestFit="1" customWidth="1"/>
    <col min="2" max="2" width="8.88671875" bestFit="1" customWidth="1"/>
    <col min="3" max="3" width="24.88671875" bestFit="1" customWidth="1"/>
    <col min="4" max="4" width="52" bestFit="1" customWidth="1"/>
    <col min="5" max="5" width="15" bestFit="1" customWidth="1"/>
    <col min="6" max="6" width="22.109375" bestFit="1" customWidth="1"/>
    <col min="7" max="7" width="30" bestFit="1" customWidth="1"/>
    <col min="8" max="8" width="14.44140625" bestFit="1" customWidth="1"/>
    <col min="9" max="9" width="21.5546875" bestFit="1" customWidth="1"/>
    <col min="10" max="10" width="28.6640625" bestFit="1" customWidth="1"/>
    <col min="11" max="11" width="13" bestFit="1" customWidth="1"/>
    <col min="12" max="12" width="20.109375" bestFit="1" customWidth="1"/>
  </cols>
  <sheetData>
    <row r="1" spans="1:12" x14ac:dyDescent="0.3">
      <c r="A1" t="s">
        <v>31</v>
      </c>
      <c r="B1" t="s">
        <v>32</v>
      </c>
      <c r="C1" t="s">
        <v>33</v>
      </c>
      <c r="D1" t="s">
        <v>51</v>
      </c>
      <c r="E1" t="s">
        <v>34</v>
      </c>
      <c r="F1" t="s">
        <v>35</v>
      </c>
      <c r="G1" t="s">
        <v>53</v>
      </c>
      <c r="H1" t="s">
        <v>54</v>
      </c>
      <c r="I1" t="s">
        <v>55</v>
      </c>
      <c r="J1" t="s">
        <v>101</v>
      </c>
      <c r="K1" t="s">
        <v>102</v>
      </c>
      <c r="L1" t="s">
        <v>103</v>
      </c>
    </row>
    <row r="2" spans="1:12" x14ac:dyDescent="0.3">
      <c r="A2" t="s">
        <v>52</v>
      </c>
      <c r="B2">
        <v>268</v>
      </c>
      <c r="C2" t="s">
        <v>36</v>
      </c>
      <c r="D2" t="s">
        <v>37</v>
      </c>
      <c r="E2">
        <v>107</v>
      </c>
      <c r="F2" t="s">
        <v>38</v>
      </c>
      <c r="G2" t="str">
        <f>table1[[#This Row],[Neosphere Variable]]</f>
        <v>Median age</v>
      </c>
      <c r="H2">
        <v>337</v>
      </c>
      <c r="I2" t="s">
        <v>56</v>
      </c>
      <c r="J2" t="s">
        <v>37</v>
      </c>
      <c r="K2">
        <v>221</v>
      </c>
      <c r="L2" t="s">
        <v>104</v>
      </c>
    </row>
    <row r="3" spans="1:12" x14ac:dyDescent="0.3">
      <c r="A3" t="s">
        <v>0</v>
      </c>
      <c r="B3">
        <v>221</v>
      </c>
      <c r="C3" t="s">
        <v>41</v>
      </c>
      <c r="D3" t="s">
        <v>39</v>
      </c>
      <c r="E3">
        <v>107</v>
      </c>
      <c r="F3" t="s">
        <v>40</v>
      </c>
      <c r="K3" t="s">
        <v>105</v>
      </c>
    </row>
    <row r="4" spans="1:12" x14ac:dyDescent="0.3">
      <c r="A4" t="s">
        <v>1</v>
      </c>
      <c r="B4">
        <v>47</v>
      </c>
      <c r="C4" s="1">
        <v>0.18</v>
      </c>
      <c r="E4">
        <v>0</v>
      </c>
      <c r="F4" s="1">
        <v>0</v>
      </c>
    </row>
    <row r="5" spans="1:12" x14ac:dyDescent="0.3">
      <c r="A5" t="s">
        <v>61</v>
      </c>
      <c r="B5">
        <v>58</v>
      </c>
      <c r="C5" s="1" t="s">
        <v>92</v>
      </c>
      <c r="D5" t="str">
        <f>table1[[#This Row],[HUS Variable]]</f>
        <v>T status (based on the tumor size): 1</v>
      </c>
      <c r="E5">
        <v>0</v>
      </c>
      <c r="F5" s="1">
        <v>0</v>
      </c>
      <c r="J5" t="str">
        <f>table1[[#This Row],[HUS Variable]]</f>
        <v>T status (based on the tumor size): 1</v>
      </c>
      <c r="K5">
        <v>0</v>
      </c>
      <c r="L5" s="1">
        <v>0</v>
      </c>
    </row>
    <row r="6" spans="1:12" x14ac:dyDescent="0.3">
      <c r="A6" t="s">
        <v>62</v>
      </c>
      <c r="B6">
        <v>143</v>
      </c>
      <c r="C6" s="1" t="s">
        <v>93</v>
      </c>
      <c r="F6" s="1"/>
    </row>
    <row r="7" spans="1:12" x14ac:dyDescent="0.3">
      <c r="A7" t="s">
        <v>63</v>
      </c>
      <c r="B7">
        <v>19</v>
      </c>
      <c r="C7" s="1" t="s">
        <v>94</v>
      </c>
      <c r="F7" s="1"/>
    </row>
    <row r="8" spans="1:12" x14ac:dyDescent="0.3">
      <c r="F8" s="1"/>
      <c r="G8" t="s">
        <v>59</v>
      </c>
      <c r="H8">
        <v>281</v>
      </c>
      <c r="I8" s="1">
        <v>0.83</v>
      </c>
    </row>
    <row r="9" spans="1:12" x14ac:dyDescent="0.3">
      <c r="F9" s="1"/>
      <c r="G9" t="s">
        <v>60</v>
      </c>
      <c r="H9">
        <v>56</v>
      </c>
      <c r="I9" s="1">
        <v>0.17</v>
      </c>
    </row>
    <row r="10" spans="1:12" x14ac:dyDescent="0.3">
      <c r="A10" t="s">
        <v>2</v>
      </c>
      <c r="B10">
        <v>101</v>
      </c>
      <c r="C10" s="1" t="s">
        <v>69</v>
      </c>
      <c r="D10" t="s">
        <v>2</v>
      </c>
      <c r="E10">
        <v>96</v>
      </c>
      <c r="F10" s="1">
        <v>0.9</v>
      </c>
      <c r="J10" t="str">
        <f>table1[[#This Row],[HUS Variable]]</f>
        <v>ECOG: 0</v>
      </c>
      <c r="K10">
        <v>212</v>
      </c>
      <c r="L10" s="1">
        <v>0.96</v>
      </c>
    </row>
    <row r="11" spans="1:12" x14ac:dyDescent="0.3">
      <c r="A11" t="s">
        <v>3</v>
      </c>
      <c r="B11">
        <v>29</v>
      </c>
      <c r="C11" s="1" t="s">
        <v>89</v>
      </c>
      <c r="D11" t="str">
        <f>table1[[#This Row],[HUS Variable]]</f>
        <v>ECOG: 1</v>
      </c>
      <c r="E11">
        <v>11</v>
      </c>
      <c r="F11" s="1">
        <v>0.1</v>
      </c>
      <c r="J11" t="str">
        <f>table1[[#This Row],[HUS Variable]]</f>
        <v>ECOG: 1</v>
      </c>
      <c r="K11">
        <v>9</v>
      </c>
      <c r="L11" s="1">
        <v>0.04</v>
      </c>
    </row>
    <row r="12" spans="1:12" x14ac:dyDescent="0.3">
      <c r="A12" t="s">
        <v>4</v>
      </c>
      <c r="B12" t="s">
        <v>116</v>
      </c>
      <c r="C12" t="s">
        <v>117</v>
      </c>
      <c r="D12" t="str">
        <f>table1[[#This Row],[HUS Variable]]</f>
        <v>ECOG: 2</v>
      </c>
      <c r="E12">
        <v>0</v>
      </c>
      <c r="F12" s="1">
        <v>0</v>
      </c>
      <c r="J12" t="str">
        <f>table1[[#This Row],[HUS Variable]]</f>
        <v>ECOG: 2</v>
      </c>
      <c r="K12">
        <v>0</v>
      </c>
      <c r="L12" s="1">
        <v>0</v>
      </c>
    </row>
    <row r="13" spans="1:12" x14ac:dyDescent="0.3">
      <c r="A13" t="s">
        <v>5</v>
      </c>
      <c r="B13">
        <v>137</v>
      </c>
      <c r="C13" s="1" t="s">
        <v>90</v>
      </c>
      <c r="D13" t="str">
        <f>table1[[#This Row],[HUS Variable]]</f>
        <v>ECOG: Unknown</v>
      </c>
      <c r="E13">
        <v>0</v>
      </c>
      <c r="F13" s="1">
        <v>0</v>
      </c>
      <c r="J13" t="str">
        <f>table1[[#This Row],[HUS Variable]]</f>
        <v>ECOG: Unknown</v>
      </c>
      <c r="K13">
        <v>0</v>
      </c>
      <c r="L13" s="1">
        <v>0</v>
      </c>
    </row>
    <row r="14" spans="1:12" x14ac:dyDescent="0.3">
      <c r="A14" t="s">
        <v>6</v>
      </c>
      <c r="B14">
        <v>155</v>
      </c>
      <c r="C14" t="s">
        <v>81</v>
      </c>
      <c r="D14" t="s">
        <v>42</v>
      </c>
      <c r="E14">
        <v>75</v>
      </c>
      <c r="F14" s="1">
        <v>0.71</v>
      </c>
      <c r="G14" t="str">
        <f>table1[[#This Row],[HUS Variable]]</f>
        <v>Nodal status: Positive</v>
      </c>
      <c r="H14">
        <v>247</v>
      </c>
      <c r="I14" s="1">
        <v>0.73</v>
      </c>
    </row>
    <row r="15" spans="1:12" x14ac:dyDescent="0.3">
      <c r="A15" t="s">
        <v>7</v>
      </c>
      <c r="B15">
        <v>93</v>
      </c>
      <c r="C15" t="s">
        <v>78</v>
      </c>
      <c r="D15" t="s">
        <v>43</v>
      </c>
      <c r="E15">
        <v>31</v>
      </c>
      <c r="F15" s="1">
        <v>0.28999999999999998</v>
      </c>
      <c r="G15" t="str">
        <f>table1[[#This Row],[HUS Variable]]</f>
        <v>Nodal status: Negative</v>
      </c>
      <c r="H15">
        <v>90</v>
      </c>
      <c r="I15" s="1">
        <v>0.27</v>
      </c>
    </row>
    <row r="16" spans="1:12" x14ac:dyDescent="0.3">
      <c r="A16" t="s">
        <v>8</v>
      </c>
      <c r="B16">
        <v>20</v>
      </c>
      <c r="C16" t="s">
        <v>70</v>
      </c>
      <c r="D16" t="str">
        <f>table1[[#This Row],[HUS Variable]]</f>
        <v>Nodal status: Unknown</v>
      </c>
      <c r="E16">
        <v>0</v>
      </c>
      <c r="F16" s="1">
        <v>0</v>
      </c>
    </row>
    <row r="17" spans="1:12" x14ac:dyDescent="0.3">
      <c r="D17" t="s">
        <v>44</v>
      </c>
      <c r="E17">
        <v>53</v>
      </c>
      <c r="F17" s="1">
        <v>0.5</v>
      </c>
    </row>
    <row r="18" spans="1:12" x14ac:dyDescent="0.3">
      <c r="D18" t="s">
        <v>45</v>
      </c>
      <c r="E18">
        <v>22</v>
      </c>
      <c r="F18" s="1">
        <v>0.21</v>
      </c>
    </row>
    <row r="19" spans="1:12" x14ac:dyDescent="0.3">
      <c r="D19" t="s">
        <v>46</v>
      </c>
      <c r="E19">
        <v>0</v>
      </c>
      <c r="F19" s="1">
        <v>0</v>
      </c>
    </row>
    <row r="20" spans="1:12" ht="28.8" x14ac:dyDescent="0.3">
      <c r="F20" s="1"/>
      <c r="J20" s="2" t="s">
        <v>111</v>
      </c>
      <c r="K20">
        <v>0</v>
      </c>
      <c r="L20" s="1">
        <v>0</v>
      </c>
    </row>
    <row r="21" spans="1:12" ht="28.8" x14ac:dyDescent="0.3">
      <c r="F21" s="1"/>
      <c r="J21" s="2" t="s">
        <v>112</v>
      </c>
      <c r="K21">
        <v>221</v>
      </c>
      <c r="L21" s="1">
        <v>1</v>
      </c>
    </row>
    <row r="22" spans="1:12" x14ac:dyDescent="0.3">
      <c r="A22" t="s">
        <v>9</v>
      </c>
      <c r="B22">
        <v>8</v>
      </c>
      <c r="C22" t="s">
        <v>82</v>
      </c>
      <c r="D22" t="str">
        <f>table1[[#This Row],[HUS Variable]]</f>
        <v>Bilateral: True</v>
      </c>
      <c r="E22">
        <v>0</v>
      </c>
      <c r="F22" s="1">
        <v>0</v>
      </c>
      <c r="G22" t="str">
        <f>table1[[#This Row],[Neosphere Variable]]</f>
        <v>Bilateral: True</v>
      </c>
      <c r="H22">
        <v>0</v>
      </c>
      <c r="I22" s="1">
        <v>0</v>
      </c>
      <c r="J22" t="str">
        <f>table1[[#This Row],[HUS Variable]]</f>
        <v>Bilateral: True</v>
      </c>
      <c r="K22">
        <v>0</v>
      </c>
      <c r="L22" s="1">
        <v>0</v>
      </c>
    </row>
    <row r="23" spans="1:12" x14ac:dyDescent="0.3">
      <c r="A23" t="s">
        <v>10</v>
      </c>
      <c r="B23">
        <v>260</v>
      </c>
      <c r="C23" t="s">
        <v>87</v>
      </c>
      <c r="D23" t="str">
        <f>table1[[#This Row],[HUS Variable]]</f>
        <v>Bilateral: False</v>
      </c>
      <c r="E23">
        <v>107</v>
      </c>
      <c r="F23" s="1">
        <v>1</v>
      </c>
      <c r="G23" t="str">
        <f>table1[[#This Row],[Neosphere Variable]]</f>
        <v>Bilateral: False</v>
      </c>
      <c r="H23">
        <v>337</v>
      </c>
      <c r="I23" s="1">
        <v>1</v>
      </c>
      <c r="J23" t="str">
        <f>table1[[#This Row],[HUS Variable]]</f>
        <v>Bilateral: False</v>
      </c>
      <c r="K23">
        <v>221</v>
      </c>
      <c r="L23" s="1">
        <v>1</v>
      </c>
    </row>
    <row r="24" spans="1:12" x14ac:dyDescent="0.3">
      <c r="A24" t="s">
        <v>11</v>
      </c>
      <c r="B24">
        <v>0</v>
      </c>
      <c r="C24" t="s">
        <v>71</v>
      </c>
      <c r="D24" t="str">
        <f>table1[[#This Row],[HUS Variable]]</f>
        <v>Bilateral: Unknown</v>
      </c>
      <c r="E24">
        <v>0</v>
      </c>
      <c r="F24" s="1">
        <v>0</v>
      </c>
      <c r="G24" t="str">
        <f>table1[[#This Row],[Neosphere Variable]]</f>
        <v>Bilateral: Unknown</v>
      </c>
      <c r="H24">
        <v>0</v>
      </c>
      <c r="I24" s="1">
        <v>0</v>
      </c>
      <c r="J24" t="str">
        <f>table1[[#This Row],[HUS Variable]]</f>
        <v>Bilateral: Unknown</v>
      </c>
      <c r="K24">
        <v>0</v>
      </c>
      <c r="L24" s="1">
        <v>0</v>
      </c>
    </row>
    <row r="25" spans="1:12" x14ac:dyDescent="0.3">
      <c r="A25" t="s">
        <v>12</v>
      </c>
      <c r="B25">
        <v>117</v>
      </c>
      <c r="C25" t="s">
        <v>79</v>
      </c>
    </row>
    <row r="26" spans="1:12" x14ac:dyDescent="0.3">
      <c r="A26" t="s">
        <v>13</v>
      </c>
      <c r="B26">
        <v>131</v>
      </c>
      <c r="C26" t="s">
        <v>80</v>
      </c>
    </row>
    <row r="27" spans="1:12" x14ac:dyDescent="0.3">
      <c r="A27" t="s">
        <v>14</v>
      </c>
      <c r="B27">
        <v>20</v>
      </c>
      <c r="C27" t="s">
        <v>72</v>
      </c>
    </row>
    <row r="28" spans="1:12" x14ac:dyDescent="0.3">
      <c r="A28" t="s">
        <v>15</v>
      </c>
      <c r="B28" t="s">
        <v>116</v>
      </c>
      <c r="C28" t="s">
        <v>73</v>
      </c>
      <c r="G28" t="str">
        <f>table1[[#This Row],[HUS Variable]]</f>
        <v>Tumor grade: 1</v>
      </c>
      <c r="H28">
        <v>1</v>
      </c>
      <c r="I28" t="s">
        <v>67</v>
      </c>
    </row>
    <row r="29" spans="1:12" x14ac:dyDescent="0.3">
      <c r="A29" t="s">
        <v>16</v>
      </c>
      <c r="B29">
        <v>64</v>
      </c>
      <c r="C29" t="s">
        <v>74</v>
      </c>
      <c r="G29" t="str">
        <f>table1[[#This Row],[HUS Variable]]</f>
        <v>Tumor grade: 2</v>
      </c>
      <c r="H29">
        <v>142</v>
      </c>
      <c r="I29" s="1">
        <v>0.42</v>
      </c>
    </row>
    <row r="30" spans="1:12" x14ac:dyDescent="0.3">
      <c r="A30" t="s">
        <v>17</v>
      </c>
      <c r="B30">
        <v>152</v>
      </c>
      <c r="C30" t="s">
        <v>83</v>
      </c>
      <c r="G30" t="str">
        <f>table1[[#This Row],[HUS Variable]]</f>
        <v>Tumor grade: 3</v>
      </c>
      <c r="H30">
        <v>194</v>
      </c>
      <c r="I30" s="1">
        <v>0.57999999999999996</v>
      </c>
    </row>
    <row r="31" spans="1:12" x14ac:dyDescent="0.3">
      <c r="A31" t="s">
        <v>18</v>
      </c>
      <c r="B31">
        <v>51</v>
      </c>
      <c r="C31" t="s">
        <v>75</v>
      </c>
      <c r="G31" t="str">
        <f>table1[[#This Row],[HUS Variable]]</f>
        <v>Tumor grade: Unknown</v>
      </c>
      <c r="H31">
        <v>0</v>
      </c>
      <c r="I31" s="1">
        <v>0</v>
      </c>
    </row>
    <row r="32" spans="1:12" x14ac:dyDescent="0.3">
      <c r="A32" t="s">
        <v>64</v>
      </c>
      <c r="B32">
        <v>211</v>
      </c>
      <c r="C32" t="s">
        <v>91</v>
      </c>
      <c r="G32" t="str">
        <f>table1[[#This Row],[HUS Variable]]</f>
        <v>Histological type: Ductale</v>
      </c>
      <c r="H32">
        <v>317</v>
      </c>
      <c r="I32" s="1">
        <v>0.94</v>
      </c>
    </row>
    <row r="33" spans="1:12" x14ac:dyDescent="0.3">
      <c r="A33" t="s">
        <v>65</v>
      </c>
      <c r="B33">
        <v>13</v>
      </c>
      <c r="C33" t="s">
        <v>86</v>
      </c>
      <c r="G33" t="str">
        <f>table1[[#This Row],[HUS Variable]]</f>
        <v>Histological type: Lobulare</v>
      </c>
      <c r="H33">
        <v>4</v>
      </c>
      <c r="I33" s="1">
        <v>0.01</v>
      </c>
    </row>
    <row r="34" spans="1:12" x14ac:dyDescent="0.3">
      <c r="A34" t="s">
        <v>66</v>
      </c>
      <c r="B34">
        <v>44</v>
      </c>
      <c r="C34" t="s">
        <v>127</v>
      </c>
      <c r="G34" t="str">
        <f>table1[[#This Row],[HUS Variable]]</f>
        <v>Histological type: Other</v>
      </c>
      <c r="H34">
        <v>16</v>
      </c>
      <c r="I34" s="1">
        <v>0.05</v>
      </c>
    </row>
    <row r="35" spans="1:12" x14ac:dyDescent="0.3">
      <c r="A35" t="s">
        <v>19</v>
      </c>
      <c r="B35">
        <v>88</v>
      </c>
      <c r="C35" t="s">
        <v>76</v>
      </c>
      <c r="D35" t="str">
        <f>table1[[#This Row],[HUS Variable]]</f>
        <v>ER and/or PR positive: Positive</v>
      </c>
      <c r="E35">
        <v>50</v>
      </c>
      <c r="F35" s="1">
        <v>0.47</v>
      </c>
      <c r="G35" t="str">
        <f>table1[[#This Row],[Neosphere Variable]]</f>
        <v>ER and/or PR positive: Positive</v>
      </c>
      <c r="H35">
        <v>193</v>
      </c>
      <c r="I35" s="1">
        <v>0.56999999999999995</v>
      </c>
      <c r="J35" t="str">
        <f>table1[[#This Row],[HUS Variable]]</f>
        <v>ER and/or PR positive: Positive</v>
      </c>
      <c r="K35">
        <v>138</v>
      </c>
      <c r="L35" s="1">
        <v>0.62</v>
      </c>
    </row>
    <row r="36" spans="1:12" x14ac:dyDescent="0.3">
      <c r="A36" t="s">
        <v>20</v>
      </c>
      <c r="B36">
        <v>180</v>
      </c>
      <c r="C36" t="s">
        <v>84</v>
      </c>
      <c r="D36" t="str">
        <f>table1[[#This Row],[HUS Variable]]</f>
        <v>ER and/or PR positive: Negative</v>
      </c>
      <c r="E36">
        <v>57</v>
      </c>
      <c r="F36" s="1">
        <v>0.53</v>
      </c>
      <c r="G36" t="str">
        <f>table1[[#This Row],[Neosphere Variable]]</f>
        <v>ER and/or PR positive: Negative</v>
      </c>
      <c r="H36">
        <v>144</v>
      </c>
      <c r="I36" s="1">
        <v>0.43</v>
      </c>
      <c r="J36" t="str">
        <f>table1[[#This Row],[HUS Variable]]</f>
        <v>ER and/or PR positive: Negative</v>
      </c>
      <c r="K36">
        <v>83</v>
      </c>
      <c r="L36" s="1">
        <v>0.38</v>
      </c>
    </row>
    <row r="37" spans="1:12" x14ac:dyDescent="0.3">
      <c r="A37" t="s">
        <v>21</v>
      </c>
      <c r="B37">
        <v>0</v>
      </c>
      <c r="C37" t="s">
        <v>71</v>
      </c>
      <c r="D37" t="str">
        <f>table1[[#This Row],[HUS Variable]]</f>
        <v>ER and/or PR positive: Unknown</v>
      </c>
      <c r="E37">
        <v>0</v>
      </c>
      <c r="F37" s="1">
        <v>0</v>
      </c>
      <c r="G37" t="str">
        <f>table1[[#This Row],[Neosphere Variable]]</f>
        <v>ER and/or PR positive: Unknown</v>
      </c>
      <c r="H37">
        <v>0</v>
      </c>
      <c r="I37" s="1">
        <v>0</v>
      </c>
      <c r="J37" t="str">
        <f>table1[[#This Row],[HUS Variable]]</f>
        <v>ER and/or PR positive: Unknown</v>
      </c>
      <c r="K37">
        <v>0</v>
      </c>
      <c r="L37" s="1">
        <v>0</v>
      </c>
    </row>
    <row r="38" spans="1:12" x14ac:dyDescent="0.3">
      <c r="A38" t="s">
        <v>22</v>
      </c>
      <c r="B38">
        <v>247</v>
      </c>
      <c r="C38" t="s">
        <v>88</v>
      </c>
    </row>
    <row r="39" spans="1:12" x14ac:dyDescent="0.3">
      <c r="A39" t="s">
        <v>23</v>
      </c>
      <c r="B39">
        <v>0</v>
      </c>
      <c r="C39" t="s">
        <v>71</v>
      </c>
    </row>
    <row r="40" spans="1:12" x14ac:dyDescent="0.3">
      <c r="A40" t="s">
        <v>24</v>
      </c>
      <c r="B40">
        <v>21</v>
      </c>
      <c r="C40" t="s">
        <v>99</v>
      </c>
    </row>
    <row r="41" spans="1:12" x14ac:dyDescent="0.3">
      <c r="A41" t="s">
        <v>25</v>
      </c>
      <c r="B41" t="s">
        <v>116</v>
      </c>
      <c r="C41" t="s">
        <v>117</v>
      </c>
      <c r="J41" t="str">
        <f>table1[[#This Row],[HUS Variable]]</f>
        <v>IHC: 1+</v>
      </c>
      <c r="K41">
        <v>0</v>
      </c>
      <c r="L41" s="1">
        <v>0</v>
      </c>
    </row>
    <row r="42" spans="1:12" x14ac:dyDescent="0.3">
      <c r="A42" t="s">
        <v>26</v>
      </c>
      <c r="B42">
        <v>71</v>
      </c>
      <c r="C42" t="s">
        <v>77</v>
      </c>
    </row>
    <row r="43" spans="1:12" x14ac:dyDescent="0.3">
      <c r="A43" t="s">
        <v>27</v>
      </c>
      <c r="B43">
        <v>183</v>
      </c>
      <c r="C43" t="s">
        <v>85</v>
      </c>
    </row>
    <row r="44" spans="1:12" x14ac:dyDescent="0.3">
      <c r="A44" t="s">
        <v>28</v>
      </c>
      <c r="B44">
        <v>13</v>
      </c>
      <c r="C44" t="s">
        <v>86</v>
      </c>
      <c r="J44" t="str">
        <f>table1[[#This Row],[HUS Variable]]</f>
        <v>IHC: Unknown</v>
      </c>
      <c r="K44">
        <v>0</v>
      </c>
      <c r="L44" s="1">
        <v>0</v>
      </c>
    </row>
    <row r="45" spans="1:12" x14ac:dyDescent="0.3">
      <c r="A45" t="s">
        <v>118</v>
      </c>
      <c r="B45">
        <v>183</v>
      </c>
      <c r="C45" t="s">
        <v>85</v>
      </c>
      <c r="G45" t="str">
        <f>table1[[#This Row],[HUS Variable]]</f>
        <v>HER2 IHC/ISH:IHC3+</v>
      </c>
      <c r="H45">
        <v>233</v>
      </c>
      <c r="I45" s="1">
        <v>0.69</v>
      </c>
      <c r="L45" s="1"/>
    </row>
    <row r="46" spans="1:12" x14ac:dyDescent="0.3">
      <c r="A46" t="s">
        <v>119</v>
      </c>
      <c r="B46">
        <v>71</v>
      </c>
      <c r="C46" t="s">
        <v>77</v>
      </c>
      <c r="G46" t="s">
        <v>100</v>
      </c>
      <c r="H46">
        <v>104</v>
      </c>
      <c r="I46" s="1">
        <v>0.31</v>
      </c>
      <c r="L46" s="1"/>
    </row>
    <row r="47" spans="1:12" x14ac:dyDescent="0.3">
      <c r="A47" t="s">
        <v>120</v>
      </c>
      <c r="B47">
        <v>14</v>
      </c>
      <c r="C47" t="s">
        <v>122</v>
      </c>
      <c r="G47" t="str">
        <f>table1[[#This Row],[HUS Variable]]</f>
        <v>HER2 IHC/ISH:other</v>
      </c>
      <c r="H47">
        <v>0</v>
      </c>
      <c r="I47" s="1">
        <v>0</v>
      </c>
      <c r="L47" s="1"/>
    </row>
    <row r="48" spans="1:12" x14ac:dyDescent="0.3">
      <c r="A48" t="s">
        <v>121</v>
      </c>
      <c r="B48">
        <v>0</v>
      </c>
      <c r="C48" t="s">
        <v>71</v>
      </c>
      <c r="G48" t="str">
        <f>table1[[#This Row],[HUS Variable]]</f>
        <v>HER2 IHC/ISH:Unknown</v>
      </c>
      <c r="H48">
        <v>0</v>
      </c>
      <c r="I48" s="1">
        <v>0</v>
      </c>
      <c r="L48" s="1"/>
    </row>
    <row r="49" spans="1:12" x14ac:dyDescent="0.3">
      <c r="A49" t="s">
        <v>29</v>
      </c>
      <c r="B49">
        <v>263</v>
      </c>
      <c r="C49" t="s">
        <v>68</v>
      </c>
    </row>
    <row r="50" spans="1:12" x14ac:dyDescent="0.3">
      <c r="A50" t="s">
        <v>30</v>
      </c>
      <c r="B50">
        <v>5</v>
      </c>
      <c r="C50" s="1">
        <v>0.02</v>
      </c>
    </row>
    <row r="51" spans="1:12" x14ac:dyDescent="0.3">
      <c r="A51" t="str">
        <f>table1[[#This Row],[HELEN-006 Variable]]</f>
        <v>Ki-67 index &lt;= 30 %</v>
      </c>
      <c r="B51">
        <v>172</v>
      </c>
      <c r="C51" t="s">
        <v>124</v>
      </c>
      <c r="G51" t="s">
        <v>97</v>
      </c>
      <c r="H51">
        <v>75</v>
      </c>
      <c r="I51" s="1">
        <v>0.22</v>
      </c>
    </row>
    <row r="52" spans="1:12" x14ac:dyDescent="0.3">
      <c r="A52" t="str">
        <f>table1[[#This Row],[HELEN-006 Variable]]</f>
        <v>Ki-67 index &gt; 30 %</v>
      </c>
      <c r="B52">
        <v>91</v>
      </c>
      <c r="C52" t="s">
        <v>125</v>
      </c>
      <c r="G52" t="s">
        <v>98</v>
      </c>
      <c r="H52">
        <v>262</v>
      </c>
      <c r="I52" s="1">
        <v>0.78</v>
      </c>
    </row>
    <row r="53" spans="1:12" x14ac:dyDescent="0.3">
      <c r="A53" t="s">
        <v>123</v>
      </c>
      <c r="B53">
        <v>5</v>
      </c>
      <c r="C53" t="s">
        <v>126</v>
      </c>
      <c r="I53" s="1"/>
    </row>
    <row r="54" spans="1:12" x14ac:dyDescent="0.3">
      <c r="D54" t="s">
        <v>113</v>
      </c>
      <c r="E54">
        <v>65</v>
      </c>
      <c r="F54" s="1">
        <v>0.61</v>
      </c>
    </row>
    <row r="55" spans="1:12" x14ac:dyDescent="0.3">
      <c r="D55" t="s">
        <v>114</v>
      </c>
      <c r="E55">
        <v>32</v>
      </c>
      <c r="F55" s="1">
        <v>0.3</v>
      </c>
    </row>
    <row r="56" spans="1:12" x14ac:dyDescent="0.3">
      <c r="D56" t="s">
        <v>115</v>
      </c>
      <c r="E56">
        <v>10</v>
      </c>
      <c r="F56" s="1">
        <v>0.09</v>
      </c>
    </row>
    <row r="57" spans="1:12" x14ac:dyDescent="0.3">
      <c r="F57" s="1"/>
      <c r="G57" t="s">
        <v>95</v>
      </c>
      <c r="H57">
        <v>212</v>
      </c>
      <c r="I57" s="1">
        <v>0.63</v>
      </c>
    </row>
    <row r="58" spans="1:12" x14ac:dyDescent="0.3">
      <c r="F58" s="1"/>
      <c r="G58" t="s">
        <v>96</v>
      </c>
      <c r="H58">
        <v>125</v>
      </c>
      <c r="I58" s="1">
        <v>0.37</v>
      </c>
    </row>
    <row r="59" spans="1:12" x14ac:dyDescent="0.3">
      <c r="F59" s="1"/>
      <c r="I59" s="1"/>
      <c r="J59" t="s">
        <v>109</v>
      </c>
      <c r="K59">
        <v>183</v>
      </c>
      <c r="L59" s="1">
        <v>0.83</v>
      </c>
    </row>
    <row r="60" spans="1:12" x14ac:dyDescent="0.3">
      <c r="F60" s="1"/>
      <c r="I60" s="1"/>
      <c r="J60" t="s">
        <v>110</v>
      </c>
      <c r="K60">
        <v>38</v>
      </c>
      <c r="L60" s="1">
        <v>0.17</v>
      </c>
    </row>
    <row r="61" spans="1:12" x14ac:dyDescent="0.3">
      <c r="D61" t="s">
        <v>47</v>
      </c>
      <c r="E61">
        <v>2</v>
      </c>
      <c r="F61" s="1">
        <v>0.02</v>
      </c>
      <c r="G61" t="str">
        <f>table1[[#This Row],[Neosphere Variable]]</f>
        <v>Ethnic origin Black</v>
      </c>
      <c r="H61">
        <v>0</v>
      </c>
      <c r="I61" s="1">
        <v>0</v>
      </c>
      <c r="J61" t="str">
        <f>table1[[#This Row],[Neosphere Variable]]</f>
        <v>Ethnic origin Black</v>
      </c>
      <c r="K61">
        <v>6</v>
      </c>
      <c r="L61" s="1">
        <v>0.03</v>
      </c>
    </row>
    <row r="62" spans="1:12" x14ac:dyDescent="0.3">
      <c r="D62" t="s">
        <v>48</v>
      </c>
      <c r="E62">
        <v>77</v>
      </c>
      <c r="F62" s="1">
        <v>0.72</v>
      </c>
      <c r="G62" t="str">
        <f>table1[[#This Row],[Neosphere Variable]]</f>
        <v>Ethnic origin White</v>
      </c>
      <c r="H62">
        <v>0</v>
      </c>
      <c r="I62" s="1">
        <v>0</v>
      </c>
      <c r="J62" t="str">
        <f>table1[[#This Row],[Neosphere Variable]]</f>
        <v>Ethnic origin White</v>
      </c>
      <c r="K62">
        <v>147</v>
      </c>
      <c r="L62" s="1">
        <v>0.67</v>
      </c>
    </row>
    <row r="63" spans="1:12" x14ac:dyDescent="0.3">
      <c r="D63" t="s">
        <v>49</v>
      </c>
      <c r="E63">
        <v>23</v>
      </c>
      <c r="F63" s="1">
        <v>0.21</v>
      </c>
      <c r="G63" t="str">
        <f>table1[[#This Row],[Neosphere Variable]]</f>
        <v>Ethnic origin Asian</v>
      </c>
      <c r="H63">
        <v>337</v>
      </c>
      <c r="I63" s="1">
        <v>1</v>
      </c>
      <c r="J63" t="str">
        <f>table1[[#This Row],[Neosphere Variable]]</f>
        <v>Ethnic origin Asian</v>
      </c>
      <c r="K63">
        <v>52</v>
      </c>
      <c r="L63" s="1">
        <v>0.24</v>
      </c>
    </row>
    <row r="64" spans="1:12" x14ac:dyDescent="0.3">
      <c r="D64" t="s">
        <v>50</v>
      </c>
      <c r="E64">
        <v>5</v>
      </c>
      <c r="F64" s="1">
        <v>0.05</v>
      </c>
      <c r="G64" t="str">
        <f>table1[[#This Row],[Neosphere Variable]]</f>
        <v>Ethnic origin Other</v>
      </c>
      <c r="H64">
        <v>0</v>
      </c>
      <c r="I64" s="1">
        <v>0</v>
      </c>
      <c r="J64" t="str">
        <f>table1[[#This Row],[Neosphere Variable]]</f>
        <v>Ethnic origin Other</v>
      </c>
      <c r="K64">
        <v>10</v>
      </c>
      <c r="L64" s="1">
        <v>0.04</v>
      </c>
    </row>
    <row r="65" spans="6:12" x14ac:dyDescent="0.3">
      <c r="F65" s="1"/>
      <c r="I65" s="1"/>
      <c r="J65" t="s">
        <v>106</v>
      </c>
      <c r="K65">
        <v>54</v>
      </c>
      <c r="L65" s="1">
        <v>0.24</v>
      </c>
    </row>
    <row r="66" spans="6:12" x14ac:dyDescent="0.3">
      <c r="F66" s="1"/>
      <c r="I66" s="1"/>
      <c r="J66" t="s">
        <v>107</v>
      </c>
      <c r="K66">
        <v>84</v>
      </c>
      <c r="L66" s="1">
        <v>0.38</v>
      </c>
    </row>
    <row r="67" spans="6:12" x14ac:dyDescent="0.3">
      <c r="F67" s="1"/>
      <c r="I67" s="1"/>
      <c r="J67" t="s">
        <v>108</v>
      </c>
      <c r="K67">
        <v>83</v>
      </c>
      <c r="L67" s="1">
        <v>0.38</v>
      </c>
    </row>
    <row r="68" spans="6:12" x14ac:dyDescent="0.3">
      <c r="G68" t="s">
        <v>57</v>
      </c>
      <c r="H68">
        <v>184</v>
      </c>
      <c r="I68" s="1">
        <v>0.55000000000000004</v>
      </c>
    </row>
    <row r="69" spans="6:12" x14ac:dyDescent="0.3">
      <c r="G69" t="s">
        <v>58</v>
      </c>
      <c r="H69">
        <v>153</v>
      </c>
      <c r="I69" s="1">
        <v>0.45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CAB12-00B3-49CA-92AA-9D4B7E9ADE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CB2E1A-FDC8-4D40-9EAA-137DB8B0B22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64c3e0a5-de9f-42d8-8b8c-e3346f136bf8}" enabled="1" method="Standard" siteId="{e307563d-5fcd-4e12-a554-9927f388b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Lähteenmaa Juho Eerik</dc:creator>
  <cp:lastModifiedBy>Lähteenmaa Juho</cp:lastModifiedBy>
  <dcterms:created xsi:type="dcterms:W3CDTF">2026-01-13T12:59:07Z</dcterms:created>
  <dcterms:modified xsi:type="dcterms:W3CDTF">2026-03-11T15:02:59Z</dcterms:modified>
</cp:coreProperties>
</file>